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ergeguea/Downloads/espressamente/"/>
    </mc:Choice>
  </mc:AlternateContent>
  <xr:revisionPtr revIDLastSave="0" documentId="13_ncr:1_{8CF88D20-26BE-DF4B-8637-C7246F284185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Timesheet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G12" i="2"/>
  <c r="G11" i="2"/>
  <c r="B10" i="2"/>
  <c r="G9" i="2"/>
  <c r="B8" i="2"/>
  <c r="H4" i="2"/>
  <c r="K25" i="1"/>
  <c r="J25" i="1"/>
  <c r="I25" i="1"/>
  <c r="H25" i="1"/>
  <c r="G25" i="1"/>
  <c r="F25" i="1"/>
  <c r="E25" i="1"/>
  <c r="L24" i="1"/>
  <c r="M24" i="1" s="1"/>
  <c r="L23" i="1"/>
  <c r="M23" i="1" s="1"/>
  <c r="M22" i="1"/>
  <c r="L22" i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H12" i="2" l="1"/>
  <c r="C8" i="2"/>
  <c r="H9" i="2"/>
  <c r="H11" i="2"/>
  <c r="C9" i="2"/>
  <c r="H10" i="2"/>
  <c r="H13" i="2"/>
  <c r="M25" i="1"/>
  <c r="C4" i="2" s="1"/>
  <c r="H8" i="2"/>
  <c r="C10" i="2"/>
  <c r="G8" i="2"/>
  <c r="L25" i="1"/>
  <c r="G13" i="2"/>
  <c r="G10" i="2"/>
  <c r="B9" i="2"/>
  <c r="D8" i="2" l="1"/>
  <c r="I11" i="2"/>
  <c r="I10" i="2"/>
  <c r="I13" i="2"/>
  <c r="A4" i="2"/>
  <c r="I8" i="2"/>
  <c r="I9" i="2"/>
  <c r="D9" i="2"/>
  <c r="F4" i="2"/>
  <c r="D10" i="2"/>
  <c r="I12" i="2"/>
</calcChain>
</file>

<file path=xl/sharedStrings.xml><?xml version="1.0" encoding="utf-8"?>
<sst xmlns="http://schemas.openxmlformats.org/spreadsheetml/2006/main" count="72" uniqueCount="57">
  <si>
    <t>TIMESHEET SETTIMANALE</t>
  </si>
  <si>
    <t>Settimana: Lun 23/02/2026 – Dom 01/03/2026</t>
  </si>
  <si>
    <t>Cliente</t>
  </si>
  <si>
    <t>Commessa</t>
  </si>
  <si>
    <t>Tipo</t>
  </si>
  <si>
    <t>€/h</t>
  </si>
  <si>
    <t>Lun
23/02</t>
  </si>
  <si>
    <t>Mar
24/02</t>
  </si>
  <si>
    <t>Mer
25/02</t>
  </si>
  <si>
    <t>Gio
26/02</t>
  </si>
  <si>
    <t>Ven
27/02</t>
  </si>
  <si>
    <t>Sab
28/02</t>
  </si>
  <si>
    <t>Dom
01/03</t>
  </si>
  <si>
    <t>Tot Ore</t>
  </si>
  <si>
    <t>Tot €</t>
  </si>
  <si>
    <t>Note Lun</t>
  </si>
  <si>
    <t>Note Mar</t>
  </si>
  <si>
    <t>Note Mer</t>
  </si>
  <si>
    <t>Note Gio</t>
  </si>
  <si>
    <t>Note Ven</t>
  </si>
  <si>
    <t>Note Sab</t>
  </si>
  <si>
    <t>Note Dom</t>
  </si>
  <si>
    <t>Acme Srl</t>
  </si>
  <si>
    <t>Progetto Web 2026</t>
  </si>
  <si>
    <t>Sviluppo</t>
  </si>
  <si>
    <t>Manutenzione sito</t>
  </si>
  <si>
    <t>Manutenzione</t>
  </si>
  <si>
    <t>Beta Corp</t>
  </si>
  <si>
    <t>Consulenza CRM</t>
  </si>
  <si>
    <t>Consulenza</t>
  </si>
  <si>
    <t>Formazione team</t>
  </si>
  <si>
    <t>Formazione</t>
  </si>
  <si>
    <t>Gamma Design</t>
  </si>
  <si>
    <t>Supporto tecnico</t>
  </si>
  <si>
    <t>Supporto</t>
  </si>
  <si>
    <t>TOTALE</t>
  </si>
  <si>
    <t>DASHBOARD SETTIMANALE</t>
  </si>
  <si>
    <t>Totale Ore</t>
  </si>
  <si>
    <t>Totale Fatturato</t>
  </si>
  <si>
    <t>Ore Medie / Giorno</t>
  </si>
  <si>
    <t>Clienti Attivi</t>
  </si>
  <si>
    <t>Riepilogo per Cliente</t>
  </si>
  <si>
    <t>Riepilogo per Tipo Attività</t>
  </si>
  <si>
    <t>Ore Totali</t>
  </si>
  <si>
    <t>Fatturato €</t>
  </si>
  <si>
    <t>% Ore</t>
  </si>
  <si>
    <t>Ore</t>
  </si>
  <si>
    <t>Altro</t>
  </si>
  <si>
    <t>Distribuzione Giornaliera</t>
  </si>
  <si>
    <t>Giorno</t>
  </si>
  <si>
    <t>Lun</t>
  </si>
  <si>
    <t>Mar</t>
  </si>
  <si>
    <t>Mer</t>
  </si>
  <si>
    <t>Gio</t>
  </si>
  <si>
    <t>Ven</t>
  </si>
  <si>
    <t>Sab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</si>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</sst>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€"/>
    <numFmt numFmtId="165" formatCode="0.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666666"/>
      <name val="Calibri"/>
    </font>
    <font>
      <b/>
      <sz val="10"/>
      <color rgb="FFFFFFFF"/>
      <name val="Calibri"/>
    </font>
    <font>
      <sz val="10"/>
      <name val="Calibri"/>
    </font>
    <font>
      <b/>
      <sz val="16"/>
      <color rgb="FF2C3E50"/>
      <name val="Calibri"/>
    </font>
    <font>
      <sz val="9"/>
      <color rgb="FF666666"/>
      <name val="Calibri"/>
    </font>
    <font>
      <b/>
      <sz val="18"/>
      <color rgb="FF27AE60"/>
      <name val="Calibri"/>
    </font>
    <font>
      <b/>
      <sz val="18"/>
      <color rgb="FFE67E22"/>
      <name val="Calibri"/>
    </font>
    <font>
      <b/>
      <sz val="18"/>
      <color rgb="FF2C3E50"/>
      <name val="Calibri"/>
    </font>
    <font>
      <b/>
      <sz val="18"/>
      <color rgb="FF8E44AD"/>
      <name val="Calibri"/>
    </font>
    <font>
      <b/>
      <sz val="13"/>
      <color rgb="FF2C3E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8F9FA"/>
      </patternFill>
    </fill>
    <fill>
      <patternFill patternType="solid">
        <fgColor rgb="FF27AE60"/>
      </patternFill>
    </fill>
    <fill>
      <patternFill patternType="solid">
        <fgColor rgb="FFF7F9FC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2C3E50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165" fontId="7" fillId="7" borderId="5" xfId="0" applyNumberFormat="1" applyFont="1" applyFill="1" applyBorder="1" applyAlignment="1">
      <alignment horizontal="center" vertical="center"/>
    </xf>
    <xf numFmtId="0" fontId="0" fillId="7" borderId="5" xfId="0" applyFill="1" applyBorder="1"/>
    <xf numFmtId="0" fontId="6" fillId="7" borderId="7" xfId="0" applyFont="1" applyFill="1" applyBorder="1" applyAlignment="1">
      <alignment horizontal="center" vertical="center"/>
    </xf>
    <xf numFmtId="0" fontId="0" fillId="7" borderId="7" xfId="0" applyFill="1" applyBorder="1"/>
    <xf numFmtId="165" fontId="9" fillId="7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0" fillId="7" borderId="8" xfId="0" applyFill="1" applyBorder="1"/>
    <xf numFmtId="0" fontId="5" fillId="0" borderId="4" xfId="0" applyFont="1" applyBorder="1" applyAlignment="1">
      <alignment horizontal="center" vertical="center"/>
    </xf>
    <xf numFmtId="0" fontId="0" fillId="0" borderId="4" xfId="0" applyBorder="1"/>
    <xf numFmtId="1" fontId="10" fillId="7" borderId="8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7" borderId="6" xfId="0" applyFill="1" applyBorder="1"/>
    <xf numFmtId="0" fontId="6" fillId="7" borderId="5" xfId="0" applyFont="1" applyFill="1" applyBorder="1" applyAlignment="1">
      <alignment horizontal="center" vertical="center"/>
    </xf>
    <xf numFmtId="164" fontId="8" fillId="7" borderId="6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Ore per Cliente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Ore Totali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Acme Srl</c:v>
                </c:pt>
                <c:pt idx="1">
                  <c:v>Beta Corp</c:v>
                </c:pt>
                <c:pt idx="2">
                  <c:v>Gamma Design</c:v>
                </c:pt>
              </c:strCache>
            </c:strRef>
          </c:cat>
          <c:val>
            <c:numRef>
              <c:f>Dashboard!$B$8:$B$10</c:f>
              <c:numCache>
                <c:formatCode>0.0</c:formatCode>
                <c:ptCount val="3"/>
                <c:pt idx="0">
                  <c:v>38.5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C3-3C41-98B3-860DF29C3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Fatturato per Cliente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Dashboard!$C$7</c:f>
              <c:strCache>
                <c:ptCount val="1"/>
                <c:pt idx="0">
                  <c:v>Fatturato €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Acme Srl</c:v>
                </c:pt>
                <c:pt idx="1">
                  <c:v>Beta Corp</c:v>
                </c:pt>
                <c:pt idx="2">
                  <c:v>Gamma Design</c:v>
                </c:pt>
              </c:strCache>
            </c:strRef>
          </c:cat>
          <c:val>
            <c:numRef>
              <c:f>Dashboard!$C$8:$C$10</c:f>
              <c:numCache>
                <c:formatCode>#,##0.00\ \€</c:formatCode>
                <c:ptCount val="3"/>
                <c:pt idx="0">
                  <c:v>1875</c:v>
                </c:pt>
                <c:pt idx="1">
                  <c:v>1260</c:v>
                </c:pt>
                <c:pt idx="2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74-2245-B244-DB0407BE2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€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Ore per Tipo Attività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Dashboard!$G$7</c:f>
              <c:strCache>
                <c:ptCount val="1"/>
                <c:pt idx="0">
                  <c:v>Ore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F0-6B4C-B34C-E1F600C08C73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F0-6B4C-B34C-E1F600C08C73}"/>
              </c:ext>
            </c:extLst>
          </c:dPt>
          <c:dPt>
            <c:idx val="2"/>
            <c:bubble3D val="0"/>
            <c:spPr>
              <a:solidFill>
                <a:srgbClr val="2980B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F0-6B4C-B34C-E1F600C08C73}"/>
              </c:ext>
            </c:extLst>
          </c:dPt>
          <c:dPt>
            <c:idx val="3"/>
            <c:bubble3D val="0"/>
            <c:spPr>
              <a:solidFill>
                <a:srgbClr val="8E44A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CF0-6B4C-B34C-E1F600C08C73}"/>
              </c:ext>
            </c:extLst>
          </c:dPt>
          <c:dPt>
            <c:idx val="4"/>
            <c:bubble3D val="0"/>
            <c:spPr>
              <a:solidFill>
                <a:srgbClr val="E74C3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CF0-6B4C-B34C-E1F600C08C73}"/>
              </c:ext>
            </c:extLst>
          </c:dPt>
          <c:dPt>
            <c:idx val="5"/>
            <c:bubble3D val="0"/>
            <c:spPr>
              <a:solidFill>
                <a:srgbClr val="95A5A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CF0-6B4C-B34C-E1F600C08C7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Dashboard!$F$8:$F$13</c:f>
              <c:strCache>
                <c:ptCount val="6"/>
                <c:pt idx="0">
                  <c:v>Sviluppo</c:v>
                </c:pt>
                <c:pt idx="1">
                  <c:v>Manutenzione</c:v>
                </c:pt>
                <c:pt idx="2">
                  <c:v>Consulenza</c:v>
                </c:pt>
                <c:pt idx="3">
                  <c:v>Formazione</c:v>
                </c:pt>
                <c:pt idx="4">
                  <c:v>Supporto</c:v>
                </c:pt>
                <c:pt idx="5">
                  <c:v>Altro</c:v>
                </c:pt>
              </c:strCache>
            </c:strRef>
          </c:cat>
          <c:val>
            <c:numRef>
              <c:f>Dashboard!$G$8:$G$13</c:f>
              <c:numCache>
                <c:formatCode>0.0</c:formatCode>
                <c:ptCount val="6"/>
                <c:pt idx="0">
                  <c:v>33.5</c:v>
                </c:pt>
                <c:pt idx="1">
                  <c:v>5</c:v>
                </c:pt>
                <c:pt idx="2">
                  <c:v>16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F0-6B4C-B34C-E1F600C08C73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Distribuzione Settimanale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Ore</c:v>
                </c:pt>
              </c:strCache>
            </c:strRef>
          </c:tx>
          <c:spPr>
            <a:solidFill>
              <a:srgbClr val="2C3E50"/>
            </a:solidFill>
            <a:ln>
              <a:prstDash val="solid"/>
            </a:ln>
          </c:spPr>
          <c:invertIfNegative val="1"/>
          <c:cat>
            <c:strRef>
              <c:f>Dashboard!$A$18:$A$24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Dashboard!$B$18:$B$24</c:f>
              <c:numCache>
                <c:formatCode>0.0</c:formatCode>
                <c:ptCount val="7"/>
                <c:pt idx="0">
                  <c:v>11</c:v>
                </c:pt>
                <c:pt idx="1">
                  <c:v>12.5</c:v>
                </c:pt>
                <c:pt idx="2">
                  <c:v>14</c:v>
                </c:pt>
                <c:pt idx="3">
                  <c:v>15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83-6148-8B85-526026D4A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Ore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838200</xdr:colOff>
      <xdr:row>23</xdr:row>
      <xdr:rowOff>152400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76200</xdr:colOff>
      <xdr:row>47</xdr:row>
      <xdr:rowOff>88900</xdr:rowOff>
    </xdr:from>
    <xdr:ext cx="648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635000</xdr:colOff>
      <xdr:row>46</xdr:row>
      <xdr:rowOff>165100</xdr:rowOff>
    </xdr:from>
    <xdr:ext cx="648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T25"/>
  <sheetViews>
    <sheetView workbookViewId="0">
      <pane ySplit="4" topLeftCell="A5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14" customWidth="1"/>
    <col min="4" max="11" width="9" customWidth="1"/>
    <col min="12" max="12" width="11" customWidth="1"/>
    <col min="13" max="13" width="12" customWidth="1"/>
    <col min="14" max="20" width="16" customWidth="1"/>
  </cols>
  <sheetData>
    <row r="1" spans="1:20" ht="38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22" customHeight="1" x14ac:dyDescent="0.2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8" customHeight="1" x14ac:dyDescent="0.2"/>
    <row r="4" spans="1:20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</row>
    <row r="5" spans="1:20" x14ac:dyDescent="0.2">
      <c r="A5" s="2" t="s">
        <v>22</v>
      </c>
      <c r="B5" s="2" t="s">
        <v>23</v>
      </c>
      <c r="C5" s="3" t="s">
        <v>24</v>
      </c>
      <c r="D5" s="4">
        <v>50</v>
      </c>
      <c r="E5" s="5">
        <v>8</v>
      </c>
      <c r="F5" s="5">
        <v>7.5</v>
      </c>
      <c r="G5" s="5">
        <v>8</v>
      </c>
      <c r="H5" s="5">
        <v>6</v>
      </c>
      <c r="I5" s="5">
        <v>4</v>
      </c>
      <c r="J5" s="6">
        <v>0</v>
      </c>
      <c r="K5" s="6">
        <v>0</v>
      </c>
      <c r="L5" s="5">
        <f t="shared" ref="L5:L24" si="0">SUM(E5:K5)</f>
        <v>33.5</v>
      </c>
      <c r="M5" s="4">
        <f t="shared" ref="M5:M24" si="1">L5*D5</f>
        <v>1675</v>
      </c>
      <c r="N5" s="3"/>
      <c r="O5" s="3"/>
      <c r="P5" s="3"/>
      <c r="Q5" s="3"/>
      <c r="R5" s="3"/>
      <c r="S5" s="3"/>
      <c r="T5" s="3"/>
    </row>
    <row r="6" spans="1:20" x14ac:dyDescent="0.2">
      <c r="A6" s="7" t="s">
        <v>22</v>
      </c>
      <c r="B6" s="7" t="s">
        <v>25</v>
      </c>
      <c r="C6" s="8" t="s">
        <v>26</v>
      </c>
      <c r="D6" s="9">
        <v>40</v>
      </c>
      <c r="E6" s="10">
        <v>2</v>
      </c>
      <c r="F6" s="10">
        <v>0</v>
      </c>
      <c r="G6" s="10">
        <v>1</v>
      </c>
      <c r="H6" s="10">
        <v>0</v>
      </c>
      <c r="I6" s="10">
        <v>2</v>
      </c>
      <c r="J6" s="6">
        <v>0</v>
      </c>
      <c r="K6" s="6">
        <v>0</v>
      </c>
      <c r="L6" s="10">
        <f t="shared" si="0"/>
        <v>5</v>
      </c>
      <c r="M6" s="9">
        <f t="shared" si="1"/>
        <v>200</v>
      </c>
      <c r="N6" s="8"/>
      <c r="O6" s="8"/>
      <c r="P6" s="8"/>
      <c r="Q6" s="8"/>
      <c r="R6" s="8"/>
      <c r="S6" s="8"/>
      <c r="T6" s="8"/>
    </row>
    <row r="7" spans="1:20" x14ac:dyDescent="0.2">
      <c r="A7" s="2" t="s">
        <v>27</v>
      </c>
      <c r="B7" s="2" t="s">
        <v>28</v>
      </c>
      <c r="C7" s="3" t="s">
        <v>29</v>
      </c>
      <c r="D7" s="4">
        <v>65</v>
      </c>
      <c r="E7" s="5">
        <v>0</v>
      </c>
      <c r="F7" s="5">
        <v>4</v>
      </c>
      <c r="G7" s="5">
        <v>0</v>
      </c>
      <c r="H7" s="5">
        <v>8</v>
      </c>
      <c r="I7" s="5">
        <v>4</v>
      </c>
      <c r="J7" s="6">
        <v>0</v>
      </c>
      <c r="K7" s="6">
        <v>0</v>
      </c>
      <c r="L7" s="5">
        <f t="shared" si="0"/>
        <v>16</v>
      </c>
      <c r="M7" s="4">
        <f t="shared" si="1"/>
        <v>1040</v>
      </c>
      <c r="N7" s="3"/>
      <c r="O7" s="3"/>
      <c r="P7" s="3"/>
      <c r="Q7" s="3"/>
      <c r="R7" s="3"/>
      <c r="S7" s="3"/>
      <c r="T7" s="3"/>
    </row>
    <row r="8" spans="1:20" x14ac:dyDescent="0.2">
      <c r="A8" s="7" t="s">
        <v>27</v>
      </c>
      <c r="B8" s="7" t="s">
        <v>30</v>
      </c>
      <c r="C8" s="8" t="s">
        <v>31</v>
      </c>
      <c r="D8" s="9">
        <v>55</v>
      </c>
      <c r="E8" s="10">
        <v>0</v>
      </c>
      <c r="F8" s="10">
        <v>0</v>
      </c>
      <c r="G8" s="10">
        <v>4</v>
      </c>
      <c r="H8" s="10">
        <v>0</v>
      </c>
      <c r="I8" s="10">
        <v>0</v>
      </c>
      <c r="J8" s="6">
        <v>0</v>
      </c>
      <c r="K8" s="6">
        <v>0</v>
      </c>
      <c r="L8" s="10">
        <f t="shared" si="0"/>
        <v>4</v>
      </c>
      <c r="M8" s="9">
        <f t="shared" si="1"/>
        <v>220</v>
      </c>
      <c r="N8" s="8"/>
      <c r="O8" s="8"/>
      <c r="P8" s="8"/>
      <c r="Q8" s="8"/>
      <c r="R8" s="8"/>
      <c r="S8" s="8"/>
      <c r="T8" s="8"/>
    </row>
    <row r="9" spans="1:20" x14ac:dyDescent="0.2">
      <c r="A9" s="2" t="s">
        <v>32</v>
      </c>
      <c r="B9" s="2" t="s">
        <v>33</v>
      </c>
      <c r="C9" s="3" t="s">
        <v>34</v>
      </c>
      <c r="D9" s="4">
        <v>35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6">
        <v>0</v>
      </c>
      <c r="K9" s="6">
        <v>0</v>
      </c>
      <c r="L9" s="5">
        <f t="shared" si="0"/>
        <v>5</v>
      </c>
      <c r="M9" s="4">
        <f t="shared" si="1"/>
        <v>175</v>
      </c>
      <c r="N9" s="3"/>
      <c r="O9" s="3"/>
      <c r="P9" s="3"/>
      <c r="Q9" s="3"/>
      <c r="R9" s="3"/>
      <c r="S9" s="3"/>
      <c r="T9" s="3"/>
    </row>
    <row r="10" spans="1:20" x14ac:dyDescent="0.2">
      <c r="A10" s="7"/>
      <c r="B10" s="7"/>
      <c r="C10" s="8"/>
      <c r="D10" s="9"/>
      <c r="E10" s="10"/>
      <c r="F10" s="10"/>
      <c r="G10" s="10"/>
      <c r="H10" s="10"/>
      <c r="I10" s="10"/>
      <c r="J10" s="6"/>
      <c r="K10" s="6"/>
      <c r="L10" s="10">
        <f t="shared" si="0"/>
        <v>0</v>
      </c>
      <c r="M10" s="9">
        <f t="shared" si="1"/>
        <v>0</v>
      </c>
      <c r="N10" s="8"/>
      <c r="O10" s="8"/>
      <c r="P10" s="8"/>
      <c r="Q10" s="8"/>
      <c r="R10" s="8"/>
      <c r="S10" s="8"/>
      <c r="T10" s="8"/>
    </row>
    <row r="11" spans="1:20" x14ac:dyDescent="0.2">
      <c r="A11" s="2"/>
      <c r="B11" s="2"/>
      <c r="C11" s="3"/>
      <c r="D11" s="4"/>
      <c r="E11" s="5"/>
      <c r="F11" s="5"/>
      <c r="G11" s="5"/>
      <c r="H11" s="5"/>
      <c r="I11" s="5"/>
      <c r="J11" s="6"/>
      <c r="K11" s="6"/>
      <c r="L11" s="5">
        <f t="shared" si="0"/>
        <v>0</v>
      </c>
      <c r="M11" s="4">
        <f t="shared" si="1"/>
        <v>0</v>
      </c>
      <c r="N11" s="3"/>
      <c r="O11" s="3"/>
      <c r="P11" s="3"/>
      <c r="Q11" s="3"/>
      <c r="R11" s="3"/>
      <c r="S11" s="3"/>
      <c r="T11" s="3"/>
    </row>
    <row r="12" spans="1:20" x14ac:dyDescent="0.2">
      <c r="A12" s="7"/>
      <c r="B12" s="7"/>
      <c r="C12" s="8"/>
      <c r="D12" s="9"/>
      <c r="E12" s="10"/>
      <c r="F12" s="10"/>
      <c r="G12" s="10"/>
      <c r="H12" s="10"/>
      <c r="I12" s="10"/>
      <c r="J12" s="6"/>
      <c r="K12" s="6"/>
      <c r="L12" s="10">
        <f t="shared" si="0"/>
        <v>0</v>
      </c>
      <c r="M12" s="9">
        <f t="shared" si="1"/>
        <v>0</v>
      </c>
      <c r="N12" s="8"/>
      <c r="O12" s="8"/>
      <c r="P12" s="8"/>
      <c r="Q12" s="8"/>
      <c r="R12" s="8"/>
      <c r="S12" s="8"/>
      <c r="T12" s="8"/>
    </row>
    <row r="13" spans="1:20" x14ac:dyDescent="0.2">
      <c r="A13" s="2"/>
      <c r="B13" s="2"/>
      <c r="C13" s="3"/>
      <c r="D13" s="4"/>
      <c r="E13" s="5"/>
      <c r="F13" s="5"/>
      <c r="G13" s="5"/>
      <c r="H13" s="5"/>
      <c r="I13" s="5"/>
      <c r="J13" s="6"/>
      <c r="K13" s="6"/>
      <c r="L13" s="5">
        <f t="shared" si="0"/>
        <v>0</v>
      </c>
      <c r="M13" s="4">
        <f t="shared" si="1"/>
        <v>0</v>
      </c>
      <c r="N13" s="3"/>
      <c r="O13" s="3"/>
      <c r="P13" s="3"/>
      <c r="Q13" s="3"/>
      <c r="R13" s="3"/>
      <c r="S13" s="3"/>
      <c r="T13" s="3"/>
    </row>
    <row r="14" spans="1:20" x14ac:dyDescent="0.2">
      <c r="A14" s="7"/>
      <c r="B14" s="7"/>
      <c r="C14" s="8"/>
      <c r="D14" s="9"/>
      <c r="E14" s="10"/>
      <c r="F14" s="10"/>
      <c r="G14" s="10"/>
      <c r="H14" s="10"/>
      <c r="I14" s="10"/>
      <c r="J14" s="6"/>
      <c r="K14" s="6"/>
      <c r="L14" s="10">
        <f t="shared" si="0"/>
        <v>0</v>
      </c>
      <c r="M14" s="9">
        <f t="shared" si="1"/>
        <v>0</v>
      </c>
      <c r="N14" s="8"/>
      <c r="O14" s="8"/>
      <c r="P14" s="8"/>
      <c r="Q14" s="8"/>
      <c r="R14" s="8"/>
      <c r="S14" s="8"/>
      <c r="T14" s="8"/>
    </row>
    <row r="15" spans="1:20" x14ac:dyDescent="0.2">
      <c r="A15" s="2"/>
      <c r="B15" s="2"/>
      <c r="C15" s="3"/>
      <c r="D15" s="4"/>
      <c r="E15" s="5"/>
      <c r="F15" s="5"/>
      <c r="G15" s="5"/>
      <c r="H15" s="5"/>
      <c r="I15" s="5"/>
      <c r="J15" s="6"/>
      <c r="K15" s="6"/>
      <c r="L15" s="5">
        <f t="shared" si="0"/>
        <v>0</v>
      </c>
      <c r="M15" s="4">
        <f t="shared" si="1"/>
        <v>0</v>
      </c>
      <c r="N15" s="3"/>
      <c r="O15" s="3"/>
      <c r="P15" s="3"/>
      <c r="Q15" s="3"/>
      <c r="R15" s="3"/>
      <c r="S15" s="3"/>
      <c r="T15" s="3"/>
    </row>
    <row r="16" spans="1:20" x14ac:dyDescent="0.2">
      <c r="A16" s="7"/>
      <c r="B16" s="7"/>
      <c r="C16" s="8"/>
      <c r="D16" s="9"/>
      <c r="E16" s="10"/>
      <c r="F16" s="10"/>
      <c r="G16" s="10"/>
      <c r="H16" s="10"/>
      <c r="I16" s="10"/>
      <c r="J16" s="6"/>
      <c r="K16" s="6"/>
      <c r="L16" s="10">
        <f t="shared" si="0"/>
        <v>0</v>
      </c>
      <c r="M16" s="9">
        <f t="shared" si="1"/>
        <v>0</v>
      </c>
      <c r="N16" s="8"/>
      <c r="O16" s="8"/>
      <c r="P16" s="8"/>
      <c r="Q16" s="8"/>
      <c r="R16" s="8"/>
      <c r="S16" s="8"/>
      <c r="T16" s="8"/>
    </row>
    <row r="17" spans="1:20" x14ac:dyDescent="0.2">
      <c r="A17" s="2"/>
      <c r="B17" s="2"/>
      <c r="C17" s="3"/>
      <c r="D17" s="4"/>
      <c r="E17" s="5"/>
      <c r="F17" s="5"/>
      <c r="G17" s="5"/>
      <c r="H17" s="5"/>
      <c r="I17" s="5"/>
      <c r="J17" s="6"/>
      <c r="K17" s="6"/>
      <c r="L17" s="5">
        <f t="shared" si="0"/>
        <v>0</v>
      </c>
      <c r="M17" s="4">
        <f t="shared" si="1"/>
        <v>0</v>
      </c>
      <c r="N17" s="3"/>
      <c r="O17" s="3"/>
      <c r="P17" s="3"/>
      <c r="Q17" s="3"/>
      <c r="R17" s="3"/>
      <c r="S17" s="3"/>
      <c r="T17" s="3"/>
    </row>
    <row r="18" spans="1:20" x14ac:dyDescent="0.2">
      <c r="A18" s="7"/>
      <c r="B18" s="7"/>
      <c r="C18" s="8"/>
      <c r="D18" s="9"/>
      <c r="E18" s="10"/>
      <c r="F18" s="10"/>
      <c r="G18" s="10"/>
      <c r="H18" s="10"/>
      <c r="I18" s="10"/>
      <c r="J18" s="6"/>
      <c r="K18" s="6"/>
      <c r="L18" s="10">
        <f t="shared" si="0"/>
        <v>0</v>
      </c>
      <c r="M18" s="9">
        <f t="shared" si="1"/>
        <v>0</v>
      </c>
      <c r="N18" s="8"/>
      <c r="O18" s="8"/>
      <c r="P18" s="8"/>
      <c r="Q18" s="8"/>
      <c r="R18" s="8"/>
      <c r="S18" s="8"/>
      <c r="T18" s="8"/>
    </row>
    <row r="19" spans="1:20" x14ac:dyDescent="0.2">
      <c r="A19" s="2"/>
      <c r="B19" s="2"/>
      <c r="C19" s="3"/>
      <c r="D19" s="4"/>
      <c r="E19" s="5"/>
      <c r="F19" s="5"/>
      <c r="G19" s="5"/>
      <c r="H19" s="5"/>
      <c r="I19" s="5"/>
      <c r="J19" s="6"/>
      <c r="K19" s="6"/>
      <c r="L19" s="5">
        <f t="shared" si="0"/>
        <v>0</v>
      </c>
      <c r="M19" s="4">
        <f t="shared" si="1"/>
        <v>0</v>
      </c>
      <c r="N19" s="3"/>
      <c r="O19" s="3"/>
      <c r="P19" s="3"/>
      <c r="Q19" s="3"/>
      <c r="R19" s="3"/>
      <c r="S19" s="3"/>
      <c r="T19" s="3"/>
    </row>
    <row r="20" spans="1:20" x14ac:dyDescent="0.2">
      <c r="A20" s="7"/>
      <c r="B20" s="7"/>
      <c r="C20" s="8"/>
      <c r="D20" s="9"/>
      <c r="E20" s="10"/>
      <c r="F20" s="10"/>
      <c r="G20" s="10"/>
      <c r="H20" s="10"/>
      <c r="I20" s="10"/>
      <c r="J20" s="6"/>
      <c r="K20" s="6"/>
      <c r="L20" s="10">
        <f t="shared" si="0"/>
        <v>0</v>
      </c>
      <c r="M20" s="9">
        <f t="shared" si="1"/>
        <v>0</v>
      </c>
      <c r="N20" s="8"/>
      <c r="O20" s="8"/>
      <c r="P20" s="8"/>
      <c r="Q20" s="8"/>
      <c r="R20" s="8"/>
      <c r="S20" s="8"/>
      <c r="T20" s="8"/>
    </row>
    <row r="21" spans="1:20" x14ac:dyDescent="0.2">
      <c r="A21" s="2"/>
      <c r="B21" s="2"/>
      <c r="C21" s="3"/>
      <c r="D21" s="4"/>
      <c r="E21" s="5"/>
      <c r="F21" s="5"/>
      <c r="G21" s="5"/>
      <c r="H21" s="5"/>
      <c r="I21" s="5"/>
      <c r="J21" s="6"/>
      <c r="K21" s="6"/>
      <c r="L21" s="5">
        <f t="shared" si="0"/>
        <v>0</v>
      </c>
      <c r="M21" s="4">
        <f t="shared" si="1"/>
        <v>0</v>
      </c>
      <c r="N21" s="3"/>
      <c r="O21" s="3"/>
      <c r="P21" s="3"/>
      <c r="Q21" s="3"/>
      <c r="R21" s="3"/>
      <c r="S21" s="3"/>
      <c r="T21" s="3"/>
    </row>
    <row r="22" spans="1:20" x14ac:dyDescent="0.2">
      <c r="A22" s="7"/>
      <c r="B22" s="7"/>
      <c r="C22" s="8"/>
      <c r="D22" s="9"/>
      <c r="E22" s="10"/>
      <c r="F22" s="10"/>
      <c r="G22" s="10"/>
      <c r="H22" s="10"/>
      <c r="I22" s="10"/>
      <c r="J22" s="6"/>
      <c r="K22" s="6"/>
      <c r="L22" s="10">
        <f t="shared" si="0"/>
        <v>0</v>
      </c>
      <c r="M22" s="9">
        <f t="shared" si="1"/>
        <v>0</v>
      </c>
      <c r="N22" s="8"/>
      <c r="O22" s="8"/>
      <c r="P22" s="8"/>
      <c r="Q22" s="8"/>
      <c r="R22" s="8"/>
      <c r="S22" s="8"/>
      <c r="T22" s="8"/>
    </row>
    <row r="23" spans="1:20" x14ac:dyDescent="0.2">
      <c r="A23" s="2"/>
      <c r="B23" s="2"/>
      <c r="C23" s="3"/>
      <c r="D23" s="4"/>
      <c r="E23" s="5"/>
      <c r="F23" s="5"/>
      <c r="G23" s="5"/>
      <c r="H23" s="5"/>
      <c r="I23" s="5"/>
      <c r="J23" s="6"/>
      <c r="K23" s="6"/>
      <c r="L23" s="5">
        <f t="shared" si="0"/>
        <v>0</v>
      </c>
      <c r="M23" s="4">
        <f t="shared" si="1"/>
        <v>0</v>
      </c>
      <c r="N23" s="3"/>
      <c r="O23" s="3"/>
      <c r="P23" s="3"/>
      <c r="Q23" s="3"/>
      <c r="R23" s="3"/>
      <c r="S23" s="3"/>
      <c r="T23" s="3"/>
    </row>
    <row r="24" spans="1:20" x14ac:dyDescent="0.2">
      <c r="A24" s="7"/>
      <c r="B24" s="7"/>
      <c r="C24" s="8"/>
      <c r="D24" s="9"/>
      <c r="E24" s="10"/>
      <c r="F24" s="10"/>
      <c r="G24" s="10"/>
      <c r="H24" s="10"/>
      <c r="I24" s="10"/>
      <c r="J24" s="6"/>
      <c r="K24" s="6"/>
      <c r="L24" s="10">
        <f t="shared" si="0"/>
        <v>0</v>
      </c>
      <c r="M24" s="9">
        <f t="shared" si="1"/>
        <v>0</v>
      </c>
      <c r="N24" s="8"/>
      <c r="O24" s="8"/>
      <c r="P24" s="8"/>
      <c r="Q24" s="8"/>
      <c r="R24" s="8"/>
      <c r="S24" s="8"/>
      <c r="T24" s="8"/>
    </row>
    <row r="25" spans="1:20" ht="28" customHeight="1" x14ac:dyDescent="0.2">
      <c r="A25" s="25" t="s">
        <v>35</v>
      </c>
      <c r="B25" s="26"/>
      <c r="C25" s="27"/>
      <c r="D25" s="11"/>
      <c r="E25" s="12">
        <f t="shared" ref="E25:M25" si="2">SUM(E5:E24)</f>
        <v>11</v>
      </c>
      <c r="F25" s="12">
        <f t="shared" si="2"/>
        <v>12.5</v>
      </c>
      <c r="G25" s="12">
        <f t="shared" si="2"/>
        <v>14</v>
      </c>
      <c r="H25" s="12">
        <f t="shared" si="2"/>
        <v>15</v>
      </c>
      <c r="I25" s="12">
        <f t="shared" si="2"/>
        <v>11</v>
      </c>
      <c r="J25" s="12">
        <f t="shared" si="2"/>
        <v>0</v>
      </c>
      <c r="K25" s="12">
        <f t="shared" si="2"/>
        <v>0</v>
      </c>
      <c r="L25" s="12">
        <f t="shared" si="2"/>
        <v>63.5</v>
      </c>
      <c r="M25" s="13">
        <f t="shared" si="2"/>
        <v>3310</v>
      </c>
      <c r="N25" s="11"/>
      <c r="O25" s="11"/>
      <c r="P25" s="11"/>
      <c r="Q25" s="11"/>
      <c r="R25" s="11"/>
      <c r="S25" s="11"/>
      <c r="T25" s="11"/>
    </row>
  </sheetData>
  <mergeCells count="3">
    <mergeCell ref="A1:T1"/>
    <mergeCell ref="A25:C25"/>
    <mergeCell ref="A2:T2"/>
  </mergeCells>
  <dataValidations count="1">
    <dataValidation type="list" allowBlank="1" errorTitle="Tipo non valido" error="Scegli un tipo valido" promptTitle="Tipo Attività" prompt="Seleziona il tipo di attività" sqref="C5:C24" xr:uid="{00000000-0002-0000-0000-000000000000}">
      <formula1>"Sviluppo,Manutenzione,Consulenza,Formazione,Supporto,Altro"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I24"/>
  <sheetViews>
    <sheetView tabSelected="1" topLeftCell="A38" workbookViewId="0">
      <selection sqref="A1:I1"/>
    </sheetView>
  </sheetViews>
  <sheetFormatPr baseColWidth="10" defaultColWidth="8.83203125" defaultRowHeight="15" x14ac:dyDescent="0.2"/>
  <cols>
    <col min="1" max="1" width="20" customWidth="1"/>
    <col min="2" max="3" width="14" customWidth="1"/>
    <col min="4" max="4" width="12" customWidth="1"/>
    <col min="5" max="5" width="4" customWidth="1"/>
    <col min="6" max="6" width="20" customWidth="1"/>
    <col min="7" max="8" width="14" customWidth="1"/>
    <col min="9" max="9" width="12" customWidth="1"/>
  </cols>
  <sheetData>
    <row r="1" spans="1:9" ht="34" customHeight="1" x14ac:dyDescent="0.2">
      <c r="A1" s="37" t="s">
        <v>36</v>
      </c>
      <c r="B1" s="38"/>
      <c r="C1" s="38"/>
      <c r="D1" s="38"/>
      <c r="E1" s="38"/>
      <c r="F1" s="38"/>
      <c r="G1" s="38"/>
      <c r="H1" s="38"/>
      <c r="I1" s="38"/>
    </row>
    <row r="3" spans="1:9" ht="22" customHeight="1" x14ac:dyDescent="0.2">
      <c r="A3" s="42" t="s">
        <v>37</v>
      </c>
      <c r="B3" s="31"/>
      <c r="C3" s="40" t="s">
        <v>38</v>
      </c>
      <c r="D3" s="41"/>
      <c r="F3" s="32" t="s">
        <v>39</v>
      </c>
      <c r="G3" s="33"/>
      <c r="H3" s="35" t="s">
        <v>40</v>
      </c>
      <c r="I3" s="36"/>
    </row>
    <row r="4" spans="1:9" ht="36" customHeight="1" x14ac:dyDescent="0.2">
      <c r="A4" s="30">
        <f>Timesheet!L25</f>
        <v>63.5</v>
      </c>
      <c r="B4" s="31"/>
      <c r="C4" s="43">
        <f>Timesheet!M25</f>
        <v>3310</v>
      </c>
      <c r="D4" s="41"/>
      <c r="F4" s="34">
        <f>IF(Timesheet!L25=0,0,Timesheet!L25/7)</f>
        <v>9.0714285714285712</v>
      </c>
      <c r="G4" s="33"/>
      <c r="H4" s="39" t="e">
        <f>SUMPRODUCT((LEN(TRIM(Timesheet!A5:A24))&gt;0)*(1/COUNTIF(Timesheet!A5:A24,Timesheet!A5:A24)))</f>
        <v>#DIV/0!</v>
      </c>
      <c r="I4" s="36"/>
    </row>
    <row r="6" spans="1:9" ht="17" x14ac:dyDescent="0.2">
      <c r="A6" s="14" t="s">
        <v>41</v>
      </c>
      <c r="F6" s="14" t="s">
        <v>42</v>
      </c>
    </row>
    <row r="7" spans="1:9" x14ac:dyDescent="0.2">
      <c r="A7" s="15" t="s">
        <v>2</v>
      </c>
      <c r="B7" s="15" t="s">
        <v>43</v>
      </c>
      <c r="C7" s="15" t="s">
        <v>44</v>
      </c>
      <c r="D7" s="15" t="s">
        <v>45</v>
      </c>
      <c r="F7" s="15" t="s">
        <v>4</v>
      </c>
      <c r="G7" s="15" t="s">
        <v>46</v>
      </c>
      <c r="H7" s="15" t="s">
        <v>44</v>
      </c>
      <c r="I7" s="15" t="s">
        <v>45</v>
      </c>
    </row>
    <row r="8" spans="1:9" x14ac:dyDescent="0.2">
      <c r="A8" s="16" t="s">
        <v>22</v>
      </c>
      <c r="B8" s="17">
        <f>SUMPRODUCT((Timesheet!A5:A24=A8)*Timesheet!L5:L24)</f>
        <v>38.5</v>
      </c>
      <c r="C8" s="18">
        <f>SUMPRODUCT((Timesheet!A5:A24=A8)*Timesheet!M5:M24)</f>
        <v>1875</v>
      </c>
      <c r="D8" s="19">
        <f>IF(Timesheet!L25=0,0,B8/Timesheet!L25)</f>
        <v>0.60629921259842523</v>
      </c>
      <c r="F8" s="16" t="s">
        <v>24</v>
      </c>
      <c r="G8" s="17">
        <f>SUMPRODUCT((Timesheet!C5:C24=F8)*Timesheet!L5:L24)</f>
        <v>33.5</v>
      </c>
      <c r="H8" s="18">
        <f>SUMPRODUCT((Timesheet!C5:C24=F8)*Timesheet!M5:M24)</f>
        <v>1675</v>
      </c>
      <c r="I8" s="19">
        <f>IF(Timesheet!L25=0,0,G8/Timesheet!L25)</f>
        <v>0.52755905511811019</v>
      </c>
    </row>
    <row r="9" spans="1:9" x14ac:dyDescent="0.2">
      <c r="A9" s="7" t="s">
        <v>27</v>
      </c>
      <c r="B9" s="10">
        <f>SUMPRODUCT((Timesheet!A5:A24=A9)*Timesheet!L5:L24)</f>
        <v>20</v>
      </c>
      <c r="C9" s="9">
        <f>SUMPRODUCT((Timesheet!A5:A24=A9)*Timesheet!M5:M24)</f>
        <v>1260</v>
      </c>
      <c r="D9" s="20">
        <f>IF(Timesheet!L25=0,0,B9/Timesheet!L25)</f>
        <v>0.31496062992125984</v>
      </c>
      <c r="F9" s="7" t="s">
        <v>26</v>
      </c>
      <c r="G9" s="10">
        <f>SUMPRODUCT((Timesheet!C5:C24=F9)*Timesheet!L5:L24)</f>
        <v>5</v>
      </c>
      <c r="H9" s="9">
        <f>SUMPRODUCT((Timesheet!C5:C24=F9)*Timesheet!M5:M24)</f>
        <v>200</v>
      </c>
      <c r="I9" s="20">
        <f>IF(Timesheet!L25=0,0,G9/Timesheet!L25)</f>
        <v>7.874015748031496E-2</v>
      </c>
    </row>
    <row r="10" spans="1:9" x14ac:dyDescent="0.2">
      <c r="A10" s="16" t="s">
        <v>32</v>
      </c>
      <c r="B10" s="17">
        <f>SUMPRODUCT((Timesheet!A5:A24=A10)*Timesheet!L5:L24)</f>
        <v>5</v>
      </c>
      <c r="C10" s="18">
        <f>SUMPRODUCT((Timesheet!A5:A24=A10)*Timesheet!M5:M24)</f>
        <v>175</v>
      </c>
      <c r="D10" s="19">
        <f>IF(Timesheet!L25=0,0,B10/Timesheet!L25)</f>
        <v>7.874015748031496E-2</v>
      </c>
      <c r="F10" s="16" t="s">
        <v>29</v>
      </c>
      <c r="G10" s="17">
        <f>SUMPRODUCT((Timesheet!C5:C24=F10)*Timesheet!L5:L24)</f>
        <v>16</v>
      </c>
      <c r="H10" s="18">
        <f>SUMPRODUCT((Timesheet!C5:C24=F10)*Timesheet!M5:M24)</f>
        <v>1040</v>
      </c>
      <c r="I10" s="19">
        <f>IF(Timesheet!L25=0,0,G10/Timesheet!L25)</f>
        <v>0.25196850393700787</v>
      </c>
    </row>
    <row r="11" spans="1:9" x14ac:dyDescent="0.2">
      <c r="F11" s="7" t="s">
        <v>31</v>
      </c>
      <c r="G11" s="10">
        <f>SUMPRODUCT((Timesheet!C5:C24=F11)*Timesheet!L5:L24)</f>
        <v>4</v>
      </c>
      <c r="H11" s="9">
        <f>SUMPRODUCT((Timesheet!C5:C24=F11)*Timesheet!M5:M24)</f>
        <v>220</v>
      </c>
      <c r="I11" s="20">
        <f>IF(Timesheet!L25=0,0,G11/Timesheet!L25)</f>
        <v>6.2992125984251968E-2</v>
      </c>
    </row>
    <row r="12" spans="1:9" x14ac:dyDescent="0.2">
      <c r="F12" s="16" t="s">
        <v>34</v>
      </c>
      <c r="G12" s="17">
        <f>SUMPRODUCT((Timesheet!C5:C24=F12)*Timesheet!L5:L24)</f>
        <v>5</v>
      </c>
      <c r="H12" s="18">
        <f>SUMPRODUCT((Timesheet!C5:C24=F12)*Timesheet!M5:M24)</f>
        <v>175</v>
      </c>
      <c r="I12" s="19">
        <f>IF(Timesheet!L25=0,0,G12/Timesheet!L25)</f>
        <v>7.874015748031496E-2</v>
      </c>
    </row>
    <row r="13" spans="1:9" x14ac:dyDescent="0.2">
      <c r="F13" s="7" t="s">
        <v>47</v>
      </c>
      <c r="G13" s="10">
        <f>SUMPRODUCT((Timesheet!C5:C24=F13)*Timesheet!L5:L24)</f>
        <v>0</v>
      </c>
      <c r="H13" s="9">
        <f>SUMPRODUCT((Timesheet!C5:C24=F13)*Timesheet!M5:M24)</f>
        <v>0</v>
      </c>
      <c r="I13" s="20">
        <f>IF(Timesheet!L25=0,0,G13/Timesheet!L25)</f>
        <v>0</v>
      </c>
    </row>
    <row r="16" spans="1:9" ht="17" x14ac:dyDescent="0.2">
      <c r="A16" s="14" t="s">
        <v>48</v>
      </c>
    </row>
    <row r="17" spans="1:2" x14ac:dyDescent="0.2">
      <c r="A17" s="15" t="s">
        <v>49</v>
      </c>
      <c r="B17" s="15" t="s">
        <v>46</v>
      </c>
    </row>
    <row r="18" spans="1:2" x14ac:dyDescent="0.2">
      <c r="A18" s="21" t="s">
        <v>50</v>
      </c>
      <c r="B18" s="17">
        <f>SUM(Timesheet!E5:E24)</f>
        <v>11</v>
      </c>
    </row>
    <row r="19" spans="1:2" x14ac:dyDescent="0.2">
      <c r="A19" s="21" t="s">
        <v>51</v>
      </c>
      <c r="B19" s="17">
        <f>SUM(Timesheet!F5:F24)</f>
        <v>12.5</v>
      </c>
    </row>
    <row r="20" spans="1:2" x14ac:dyDescent="0.2">
      <c r="A20" s="21" t="s">
        <v>52</v>
      </c>
      <c r="B20" s="17">
        <f>SUM(Timesheet!G5:G24)</f>
        <v>14</v>
      </c>
    </row>
    <row r="21" spans="1:2" x14ac:dyDescent="0.2">
      <c r="A21" s="21" t="s">
        <v>53</v>
      </c>
      <c r="B21" s="17">
        <f>SUM(Timesheet!H5:H24)</f>
        <v>15</v>
      </c>
    </row>
    <row r="22" spans="1:2" x14ac:dyDescent="0.2">
      <c r="A22" s="21" t="s">
        <v>54</v>
      </c>
      <c r="B22" s="17">
        <f>SUM(Timesheet!I5:I24)</f>
        <v>11</v>
      </c>
    </row>
    <row r="23" spans="1:2" x14ac:dyDescent="0.2">
      <c r="A23" s="22" t="s">
        <v>55</v>
      </c>
      <c r="B23" s="6">
        <f>SUM(Timesheet!J5:J24)</f>
        <v>0</v>
      </c>
    </row>
    <row r="24" spans="1:2" x14ac:dyDescent="0.2">
      <c r="A24" s="22" t="s">
        <v>56</v>
      </c>
      <c r="B24" s="6">
        <f>SUM(Timesheet!K5:K24)</f>
        <v>0</v>
      </c>
    </row>
  </sheetData>
  <mergeCells count="9">
    <mergeCell ref="A4:B4"/>
    <mergeCell ref="F3:G3"/>
    <mergeCell ref="F4:G4"/>
    <mergeCell ref="H3:I3"/>
    <mergeCell ref="A1:I1"/>
    <mergeCell ref="H4:I4"/>
    <mergeCell ref="C3:D3"/>
    <mergeCell ref="A3:B3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Timesheet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GUEA</cp:lastModifiedBy>
  <dcterms:created xsi:type="dcterms:W3CDTF">2026-02-25T20:49:05Z</dcterms:created>
  <dcterms:modified xsi:type="dcterms:W3CDTF">2026-02-25T20:56:10Z</dcterms:modified>
</cp:coreProperties>
</file>